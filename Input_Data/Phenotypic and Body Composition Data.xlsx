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NDRANIL BISWAS\OneDrive\Desktop\Prediction_Model\"/>
    </mc:Choice>
  </mc:AlternateContent>
  <xr:revisionPtr revIDLastSave="0" documentId="13_ncr:1_{2C491FD8-E217-4ADC-B153-2CB8A464D1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H3" i="1"/>
  <c r="H4" i="1"/>
  <c r="H22" i="1"/>
  <c r="H21" i="1"/>
  <c r="H20" i="1"/>
  <c r="H11" i="1"/>
  <c r="H10" i="1"/>
  <c r="H9" i="1"/>
  <c r="H8" i="1"/>
  <c r="E22" i="1"/>
  <c r="E21" i="1"/>
  <c r="E20" i="1"/>
  <c r="E12" i="1"/>
  <c r="E11" i="1"/>
  <c r="E9" i="1"/>
  <c r="E3" i="1"/>
  <c r="E8" i="1"/>
  <c r="E2" i="1"/>
</calcChain>
</file>

<file path=xl/sharedStrings.xml><?xml version="1.0" encoding="utf-8"?>
<sst xmlns="http://schemas.openxmlformats.org/spreadsheetml/2006/main" count="86" uniqueCount="49">
  <si>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</si>
  <si>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</si>
  <si>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</si>
  <si>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</si>
  <si>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</si>
  <si>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</si>
  <si>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</si>
  <si>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</si>
  <si>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</si>
  <si>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</si>
  <si>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</si>
  <si>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</si>
  <si>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</si>
  <si>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</si>
  <si>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</si>
  <si>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</si>
  <si>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</si>
  <si>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</si>
  <si>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</si>
  <si>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</si>
  <si>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</si>
  <si>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</si>
  <si>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</si>
  <si>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</si>
  <si>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</si>
  <si>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</si>
  <si>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</si>
  <si>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</si>
  <si>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</si>
  <si>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</si>
  <si>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</si>
  <si>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</si>
  <si>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</si>
  <si>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</si>
  <si>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</si>
  <si>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</si>
  <si>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</si>
  <si>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</si>
  <si>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</si>
  <si>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BMI</t>
  </si>
  <si>
    <t>Body fat percentage</t>
  </si>
  <si>
    <t>MUAC (cm)</t>
  </si>
  <si>
    <t>Height (cm)</t>
  </si>
  <si>
    <t>Weight (cm)</t>
  </si>
  <si>
    <t>Age</t>
  </si>
  <si>
    <t>Sex</t>
  </si>
  <si>
    <t>Female</t>
  </si>
  <si>
    <t>Male</t>
  </si>
  <si>
    <t>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</si>
</sst>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J3" sqref="J3"/>
    </sheetView>
  </sheetViews>
  <sheetFormatPr defaultRowHeight="14.5" x14ac:dyDescent="0.35"/>
  <cols>
    <col min="1" max="5" width="8.7265625" style="1"/>
    <col min="6" max="6" width="8.7265625" style="2"/>
    <col min="7" max="7" width="15.7265625" style="2" customWidth="1"/>
    <col min="8" max="16384" width="8.7265625" style="2"/>
  </cols>
  <sheetData>
    <row r="1" spans="1:8" s="1" customFormat="1" ht="29" x14ac:dyDescent="0.35">
      <c r="A1" s="3" t="s">
        <v>48</v>
      </c>
      <c r="B1" s="3" t="s">
        <v>44</v>
      </c>
      <c r="C1" s="3" t="s">
        <v>45</v>
      </c>
      <c r="D1" s="3" t="s">
        <v>42</v>
      </c>
      <c r="E1" s="3" t="s">
        <v>43</v>
      </c>
      <c r="F1" s="3" t="s">
        <v>39</v>
      </c>
      <c r="G1" s="3" t="s">
        <v>40</v>
      </c>
      <c r="H1" s="3" t="s">
        <v>41</v>
      </c>
    </row>
    <row r="2" spans="1:8" x14ac:dyDescent="0.35">
      <c r="A2" s="3" t="s">
        <v>0</v>
      </c>
      <c r="B2" s="5">
        <v>30</v>
      </c>
      <c r="C2" s="4" t="s">
        <v>47</v>
      </c>
      <c r="D2" s="5">
        <v>167.3</v>
      </c>
      <c r="E2" s="5">
        <f>E5 - 0.1*E5</f>
        <v>62.460000000000008</v>
      </c>
      <c r="F2" s="4">
        <v>22.32</v>
      </c>
      <c r="G2" s="4">
        <v>17.48</v>
      </c>
      <c r="H2" s="5">
        <f>H5 - 0.1*H5</f>
        <v>26.55</v>
      </c>
    </row>
    <row r="3" spans="1:8" x14ac:dyDescent="0.35">
      <c r="A3" s="3" t="s">
        <v>1</v>
      </c>
      <c r="B3" s="5">
        <v>26</v>
      </c>
      <c r="C3" s="4" t="s">
        <v>46</v>
      </c>
      <c r="D3" s="5">
        <v>155</v>
      </c>
      <c r="E3" s="6">
        <f>E6 - 0.08 * E6</f>
        <v>54.004000000000005</v>
      </c>
      <c r="F3" s="4">
        <v>22.48</v>
      </c>
      <c r="G3" s="4">
        <v>27.55</v>
      </c>
      <c r="H3" s="5">
        <f>H6 - 0.03 * H6</f>
        <v>24.25</v>
      </c>
    </row>
    <row r="4" spans="1:8" x14ac:dyDescent="0.35">
      <c r="A4" s="3" t="s">
        <v>2</v>
      </c>
      <c r="B4" s="5">
        <v>5</v>
      </c>
      <c r="C4" s="4" t="s">
        <v>47</v>
      </c>
      <c r="D4" s="5">
        <v>130</v>
      </c>
      <c r="E4" s="5">
        <v>24.3</v>
      </c>
      <c r="F4" s="4">
        <v>14.38</v>
      </c>
      <c r="G4" s="4">
        <v>2.2000000000000002</v>
      </c>
      <c r="H4" s="5">
        <f>H7-0.06*H7</f>
        <v>18.8</v>
      </c>
    </row>
    <row r="5" spans="1:8" x14ac:dyDescent="0.35">
      <c r="A5" s="3" t="s">
        <v>3</v>
      </c>
      <c r="B5" s="5">
        <v>32</v>
      </c>
      <c r="C5" s="4" t="s">
        <v>47</v>
      </c>
      <c r="D5" s="5">
        <v>167.3</v>
      </c>
      <c r="E5" s="5">
        <v>69.400000000000006</v>
      </c>
      <c r="F5" s="4">
        <v>24.8</v>
      </c>
      <c r="G5" s="4">
        <v>20.91</v>
      </c>
      <c r="H5" s="5">
        <v>29.5</v>
      </c>
    </row>
    <row r="6" spans="1:8" x14ac:dyDescent="0.35">
      <c r="A6" s="3" t="s">
        <v>4</v>
      </c>
      <c r="B6" s="5">
        <v>28</v>
      </c>
      <c r="C6" s="4" t="s">
        <v>46</v>
      </c>
      <c r="D6" s="5">
        <v>155.1</v>
      </c>
      <c r="E6" s="5">
        <v>58.7</v>
      </c>
      <c r="F6" s="4">
        <v>24.4</v>
      </c>
      <c r="G6" s="4">
        <v>30.32</v>
      </c>
      <c r="H6" s="5">
        <v>25</v>
      </c>
    </row>
    <row r="7" spans="1:8" x14ac:dyDescent="0.35">
      <c r="A7" s="3" t="s">
        <v>5</v>
      </c>
      <c r="B7" s="5">
        <v>8</v>
      </c>
      <c r="C7" s="4" t="s">
        <v>47</v>
      </c>
      <c r="D7" s="5">
        <v>130.80000000000001</v>
      </c>
      <c r="E7" s="5">
        <v>27.5</v>
      </c>
      <c r="F7" s="4">
        <v>16.07</v>
      </c>
      <c r="G7" s="4">
        <v>4.7</v>
      </c>
      <c r="H7" s="5">
        <v>20</v>
      </c>
    </row>
    <row r="8" spans="1:8" x14ac:dyDescent="0.35">
      <c r="A8" s="3" t="s">
        <v>6</v>
      </c>
      <c r="B8" s="5">
        <v>33</v>
      </c>
      <c r="C8" s="4" t="s">
        <v>47</v>
      </c>
      <c r="D8" s="5">
        <v>167.3</v>
      </c>
      <c r="E8" s="5">
        <f>E5 + 0.05*E5</f>
        <v>72.87</v>
      </c>
      <c r="F8" s="4">
        <v>26.03</v>
      </c>
      <c r="G8" s="4">
        <v>22.63</v>
      </c>
      <c r="H8" s="6">
        <f>H5 + 0.05*H5</f>
        <v>30.975000000000001</v>
      </c>
    </row>
    <row r="9" spans="1:8" x14ac:dyDescent="0.35">
      <c r="A9" s="3" t="s">
        <v>7</v>
      </c>
      <c r="B9" s="5">
        <v>29</v>
      </c>
      <c r="C9" s="4" t="s">
        <v>46</v>
      </c>
      <c r="D9" s="5">
        <v>155</v>
      </c>
      <c r="E9" s="6">
        <f>E6 - 0.03 * E6</f>
        <v>56.939</v>
      </c>
      <c r="F9" s="4">
        <v>23.7</v>
      </c>
      <c r="G9" s="4">
        <v>29.71</v>
      </c>
      <c r="H9" s="5">
        <f>H6 + 0.03 * H6</f>
        <v>25.75</v>
      </c>
    </row>
    <row r="10" spans="1:8" x14ac:dyDescent="0.35">
      <c r="A10" s="3" t="s">
        <v>8</v>
      </c>
      <c r="B10" s="5">
        <v>7</v>
      </c>
      <c r="C10" s="4" t="s">
        <v>47</v>
      </c>
      <c r="D10" s="5">
        <v>144.30000000000001</v>
      </c>
      <c r="E10" s="5">
        <v>31.2</v>
      </c>
      <c r="F10" s="4">
        <v>14.98</v>
      </c>
      <c r="G10" s="4">
        <v>3.62</v>
      </c>
      <c r="H10" s="5">
        <f>H7+0.06*H7</f>
        <v>21.2</v>
      </c>
    </row>
    <row r="11" spans="1:8" x14ac:dyDescent="0.35">
      <c r="A11" s="3" t="s">
        <v>9</v>
      </c>
      <c r="B11" s="5">
        <v>30</v>
      </c>
      <c r="C11" s="4" t="s">
        <v>47</v>
      </c>
      <c r="D11" s="5">
        <v>158.6</v>
      </c>
      <c r="E11" s="5">
        <f>E14-0.1*E14</f>
        <v>40.950000000000003</v>
      </c>
      <c r="F11" s="4">
        <v>16.28</v>
      </c>
      <c r="G11" s="4">
        <v>10.24</v>
      </c>
      <c r="H11" s="5">
        <f>H14-0.1*H14</f>
        <v>21.78</v>
      </c>
    </row>
    <row r="12" spans="1:8" x14ac:dyDescent="0.35">
      <c r="A12" s="3" t="s">
        <v>10</v>
      </c>
      <c r="B12" s="5">
        <v>26</v>
      </c>
      <c r="C12" s="4" t="s">
        <v>46</v>
      </c>
      <c r="D12" s="5">
        <v>147.5</v>
      </c>
      <c r="E12" s="6">
        <f>E15-0.03*E15</f>
        <v>43.940999999999995</v>
      </c>
      <c r="F12" s="4">
        <v>20.2</v>
      </c>
      <c r="G12" s="4">
        <v>24.82</v>
      </c>
      <c r="H12" s="5">
        <v>24</v>
      </c>
    </row>
    <row r="13" spans="1:8" x14ac:dyDescent="0.35">
      <c r="A13" s="3" t="s">
        <v>11</v>
      </c>
      <c r="B13" s="5">
        <v>5</v>
      </c>
      <c r="C13" s="4" t="s">
        <v>47</v>
      </c>
      <c r="D13" s="5">
        <v>119.9</v>
      </c>
      <c r="E13" s="5">
        <v>26.7</v>
      </c>
      <c r="F13" s="4">
        <v>18.57</v>
      </c>
      <c r="G13" s="4">
        <v>7.24</v>
      </c>
      <c r="H13" s="5">
        <v>21.9</v>
      </c>
    </row>
    <row r="14" spans="1:8" x14ac:dyDescent="0.35">
      <c r="A14" s="3" t="s">
        <v>12</v>
      </c>
      <c r="B14" s="5">
        <v>32</v>
      </c>
      <c r="C14" s="4" t="s">
        <v>47</v>
      </c>
      <c r="D14" s="5">
        <v>158.6</v>
      </c>
      <c r="E14" s="5">
        <v>45.5</v>
      </c>
      <c r="F14" s="4">
        <v>18.09</v>
      </c>
      <c r="G14" s="4">
        <v>12.87</v>
      </c>
      <c r="H14" s="5">
        <v>24.2</v>
      </c>
    </row>
    <row r="15" spans="1:8" x14ac:dyDescent="0.35">
      <c r="A15" s="3" t="s">
        <v>13</v>
      </c>
      <c r="B15" s="5">
        <v>28</v>
      </c>
      <c r="C15" s="4" t="s">
        <v>46</v>
      </c>
      <c r="D15" s="5">
        <v>147.5</v>
      </c>
      <c r="E15" s="5">
        <v>45.3</v>
      </c>
      <c r="F15" s="4">
        <v>20.82</v>
      </c>
      <c r="G15" s="4">
        <v>26.03</v>
      </c>
      <c r="H15" s="5">
        <v>24.4</v>
      </c>
    </row>
    <row r="16" spans="1:8" x14ac:dyDescent="0.35">
      <c r="A16" s="3" t="s">
        <v>14</v>
      </c>
      <c r="B16" s="5">
        <v>7</v>
      </c>
      <c r="C16" s="4" t="s">
        <v>47</v>
      </c>
      <c r="D16" s="5">
        <v>140.30000000000001</v>
      </c>
      <c r="E16" s="5">
        <v>39.299999999999997</v>
      </c>
      <c r="F16" s="4">
        <v>19.97</v>
      </c>
      <c r="G16" s="4">
        <v>9.3699999999999992</v>
      </c>
      <c r="H16" s="5">
        <v>22.4</v>
      </c>
    </row>
    <row r="17" spans="1:8" x14ac:dyDescent="0.35">
      <c r="A17" s="3" t="s">
        <v>15</v>
      </c>
      <c r="B17" s="5">
        <v>33</v>
      </c>
      <c r="C17" s="4" t="s">
        <v>47</v>
      </c>
      <c r="D17" s="5">
        <v>158.6</v>
      </c>
      <c r="E17" s="5">
        <v>46.2</v>
      </c>
      <c r="F17" s="4">
        <v>18.37</v>
      </c>
      <c r="G17" s="4">
        <v>13.43</v>
      </c>
      <c r="H17" s="5">
        <v>23.9</v>
      </c>
    </row>
    <row r="18" spans="1:8" x14ac:dyDescent="0.35">
      <c r="A18" s="3" t="s">
        <v>16</v>
      </c>
      <c r="B18" s="5">
        <v>29</v>
      </c>
      <c r="C18" s="4" t="s">
        <v>46</v>
      </c>
      <c r="D18" s="5">
        <v>147.5</v>
      </c>
      <c r="E18" s="5">
        <v>48</v>
      </c>
      <c r="F18" s="4">
        <v>22.06</v>
      </c>
      <c r="G18" s="4">
        <v>27.75</v>
      </c>
      <c r="H18" s="5">
        <v>25</v>
      </c>
    </row>
    <row r="19" spans="1:8" x14ac:dyDescent="0.35">
      <c r="A19" s="3" t="s">
        <v>17</v>
      </c>
      <c r="B19" s="5">
        <v>8</v>
      </c>
      <c r="C19" s="4" t="s">
        <v>47</v>
      </c>
      <c r="D19" s="5">
        <v>164.8</v>
      </c>
      <c r="E19" s="5">
        <v>56.5</v>
      </c>
      <c r="F19" s="4">
        <v>20.8</v>
      </c>
      <c r="G19" s="4">
        <v>10.6</v>
      </c>
      <c r="H19" s="5">
        <v>23.5</v>
      </c>
    </row>
    <row r="20" spans="1:8" x14ac:dyDescent="0.35">
      <c r="A20" s="3" t="s">
        <v>18</v>
      </c>
      <c r="B20" s="5">
        <v>30</v>
      </c>
      <c r="C20" s="4" t="s">
        <v>47</v>
      </c>
      <c r="D20" s="5">
        <v>168.5</v>
      </c>
      <c r="E20" s="5">
        <f>E23-0.1*E23</f>
        <v>45.269999999999996</v>
      </c>
      <c r="F20" s="4">
        <v>15.94</v>
      </c>
      <c r="G20" s="4">
        <v>9.83</v>
      </c>
      <c r="H20" s="5">
        <f>H23-0.1*H23</f>
        <v>20.790000000000003</v>
      </c>
    </row>
    <row r="21" spans="1:8" x14ac:dyDescent="0.35">
      <c r="A21" s="3" t="s">
        <v>19</v>
      </c>
      <c r="B21" s="5">
        <v>26</v>
      </c>
      <c r="C21" s="4" t="s">
        <v>46</v>
      </c>
      <c r="D21" s="5">
        <v>146.80000000000001</v>
      </c>
      <c r="E21" s="5">
        <f>E24-0.03*E24</f>
        <v>48.887999999999998</v>
      </c>
      <c r="F21" s="4">
        <v>22.69</v>
      </c>
      <c r="G21" s="4">
        <v>27.8</v>
      </c>
      <c r="H21" s="5">
        <f>H24-0.03*H24</f>
        <v>24.25</v>
      </c>
    </row>
    <row r="22" spans="1:8" x14ac:dyDescent="0.35">
      <c r="A22" s="3" t="s">
        <v>20</v>
      </c>
      <c r="B22" s="5">
        <v>5</v>
      </c>
      <c r="C22" s="4" t="s">
        <v>47</v>
      </c>
      <c r="D22" s="5">
        <v>118.2</v>
      </c>
      <c r="E22" s="5">
        <f>E25-0.06*E25</f>
        <v>25.474</v>
      </c>
      <c r="F22" s="4">
        <v>18.23</v>
      </c>
      <c r="G22" s="4">
        <v>6.83</v>
      </c>
      <c r="H22" s="5">
        <f>H25-0.06*H25</f>
        <v>16.45</v>
      </c>
    </row>
    <row r="23" spans="1:8" x14ac:dyDescent="0.35">
      <c r="A23" s="3" t="s">
        <v>21</v>
      </c>
      <c r="B23" s="5">
        <v>32</v>
      </c>
      <c r="C23" s="4" t="s">
        <v>47</v>
      </c>
      <c r="D23" s="5">
        <v>168.5</v>
      </c>
      <c r="E23" s="5">
        <v>50.3</v>
      </c>
      <c r="F23" s="4">
        <v>17.72</v>
      </c>
      <c r="G23" s="4">
        <v>12.42</v>
      </c>
      <c r="H23" s="5">
        <v>23.1</v>
      </c>
    </row>
    <row r="24" spans="1:8" x14ac:dyDescent="0.35">
      <c r="A24" s="3" t="s">
        <v>22</v>
      </c>
      <c r="B24" s="5">
        <v>28</v>
      </c>
      <c r="C24" s="4" t="s">
        <v>46</v>
      </c>
      <c r="D24" s="5">
        <v>146.80000000000001</v>
      </c>
      <c r="E24" s="5">
        <v>50.4</v>
      </c>
      <c r="F24" s="4">
        <v>23.39</v>
      </c>
      <c r="G24" s="4">
        <v>29.1</v>
      </c>
      <c r="H24" s="5">
        <v>25</v>
      </c>
    </row>
    <row r="25" spans="1:8" x14ac:dyDescent="0.35">
      <c r="A25" s="3" t="s">
        <v>23</v>
      </c>
      <c r="B25" s="5">
        <v>7</v>
      </c>
      <c r="C25" s="4" t="s">
        <v>47</v>
      </c>
      <c r="D25" s="5">
        <v>121.5</v>
      </c>
      <c r="E25" s="5">
        <v>27.1</v>
      </c>
      <c r="F25" s="4">
        <v>18.36</v>
      </c>
      <c r="G25" s="4">
        <v>7.44</v>
      </c>
      <c r="H25" s="5">
        <v>17.5</v>
      </c>
    </row>
    <row r="26" spans="1:8" x14ac:dyDescent="0.35">
      <c r="A26" s="3" t="s">
        <v>24</v>
      </c>
      <c r="B26" s="5">
        <v>33</v>
      </c>
      <c r="C26" s="4" t="s">
        <v>47</v>
      </c>
      <c r="D26" s="5">
        <v>168.5</v>
      </c>
      <c r="E26" s="5">
        <v>54</v>
      </c>
      <c r="F26" s="4">
        <v>19.02</v>
      </c>
      <c r="G26" s="4">
        <v>14.21</v>
      </c>
      <c r="H26" s="5">
        <v>22.6</v>
      </c>
    </row>
    <row r="27" spans="1:8" x14ac:dyDescent="0.35">
      <c r="A27" s="3" t="s">
        <v>25</v>
      </c>
      <c r="B27" s="5">
        <v>29</v>
      </c>
      <c r="C27" s="4" t="s">
        <v>46</v>
      </c>
      <c r="D27" s="5">
        <v>146.80000000000001</v>
      </c>
      <c r="E27" s="5">
        <v>53.7</v>
      </c>
      <c r="F27" s="4">
        <v>24.92</v>
      </c>
      <c r="G27" s="4">
        <v>31.17</v>
      </c>
      <c r="H27" s="5">
        <v>26</v>
      </c>
    </row>
    <row r="28" spans="1:8" x14ac:dyDescent="0.35">
      <c r="A28" s="3" t="s">
        <v>26</v>
      </c>
      <c r="B28" s="5">
        <v>8</v>
      </c>
      <c r="C28" s="4" t="s">
        <v>47</v>
      </c>
      <c r="D28" s="5">
        <v>143.1</v>
      </c>
      <c r="E28" s="5">
        <v>32.6</v>
      </c>
      <c r="F28" s="4">
        <v>15.92</v>
      </c>
      <c r="G28" s="4">
        <v>4.74</v>
      </c>
      <c r="H28" s="5">
        <v>18.399999999999999</v>
      </c>
    </row>
    <row r="29" spans="1:8" x14ac:dyDescent="0.35">
      <c r="A29" s="3" t="s">
        <v>27</v>
      </c>
      <c r="B29" s="5">
        <v>79</v>
      </c>
      <c r="C29" s="4" t="s">
        <v>47</v>
      </c>
      <c r="D29" s="4">
        <v>150</v>
      </c>
      <c r="E29" s="5">
        <v>39.5</v>
      </c>
      <c r="F29" s="5">
        <v>17.600000000000001</v>
      </c>
      <c r="G29" s="5">
        <v>17</v>
      </c>
      <c r="H29" s="5">
        <v>19</v>
      </c>
    </row>
    <row r="30" spans="1:8" x14ac:dyDescent="0.35">
      <c r="A30" s="3" t="s">
        <v>28</v>
      </c>
      <c r="B30" s="4">
        <v>65</v>
      </c>
      <c r="C30" s="4" t="s">
        <v>47</v>
      </c>
      <c r="D30" s="4">
        <v>145</v>
      </c>
      <c r="E30" s="5">
        <v>39</v>
      </c>
      <c r="F30" s="5">
        <v>18.5</v>
      </c>
      <c r="G30" s="5">
        <v>40.200000000000003</v>
      </c>
      <c r="H30" s="5">
        <v>19.600000000000001</v>
      </c>
    </row>
    <row r="31" spans="1:8" x14ac:dyDescent="0.35">
      <c r="A31" s="3" t="s">
        <v>29</v>
      </c>
      <c r="B31" s="4">
        <v>60</v>
      </c>
      <c r="C31" s="4" t="s">
        <v>46</v>
      </c>
      <c r="D31" s="4">
        <v>142</v>
      </c>
      <c r="E31" s="5">
        <v>40.200000000000003</v>
      </c>
      <c r="F31" s="5">
        <v>19.899999999999999</v>
      </c>
      <c r="G31" s="5">
        <v>29.1</v>
      </c>
      <c r="H31" s="5">
        <v>21.7</v>
      </c>
    </row>
    <row r="32" spans="1:8" x14ac:dyDescent="0.35">
      <c r="A32" s="3" t="s">
        <v>30</v>
      </c>
      <c r="B32" s="4">
        <v>68</v>
      </c>
      <c r="C32" s="4" t="s">
        <v>47</v>
      </c>
      <c r="D32" s="4">
        <v>145</v>
      </c>
      <c r="E32" s="5">
        <v>50.8</v>
      </c>
      <c r="F32" s="5">
        <v>24.2</v>
      </c>
      <c r="G32" s="5">
        <v>24.9</v>
      </c>
      <c r="H32" s="5">
        <v>21.6</v>
      </c>
    </row>
    <row r="33" spans="1:8" x14ac:dyDescent="0.35">
      <c r="A33" s="3" t="s">
        <v>31</v>
      </c>
      <c r="B33" s="5">
        <v>48</v>
      </c>
      <c r="C33" s="4" t="s">
        <v>47</v>
      </c>
      <c r="D33" s="4">
        <v>150</v>
      </c>
      <c r="E33" s="5">
        <v>43.5</v>
      </c>
      <c r="F33" s="5">
        <v>19.3</v>
      </c>
      <c r="G33" s="5">
        <v>20</v>
      </c>
      <c r="H33" s="5">
        <v>22.2</v>
      </c>
    </row>
    <row r="34" spans="1:8" x14ac:dyDescent="0.35">
      <c r="A34" s="3" t="s">
        <v>32</v>
      </c>
      <c r="B34" s="5">
        <v>52</v>
      </c>
      <c r="C34" s="4" t="s">
        <v>47</v>
      </c>
      <c r="D34" s="4">
        <v>150</v>
      </c>
      <c r="E34" s="5">
        <v>34.4</v>
      </c>
      <c r="F34" s="5">
        <v>15.3</v>
      </c>
      <c r="G34" s="5">
        <v>20.399999999999999</v>
      </c>
      <c r="H34" s="5">
        <v>8.1999999999999993</v>
      </c>
    </row>
    <row r="35" spans="1:8" x14ac:dyDescent="0.35">
      <c r="A35" s="3" t="s">
        <v>33</v>
      </c>
      <c r="B35" s="5">
        <v>68</v>
      </c>
      <c r="C35" s="4" t="s">
        <v>47</v>
      </c>
      <c r="D35" s="4">
        <v>135</v>
      </c>
      <c r="E35" s="5">
        <v>37.700000000000003</v>
      </c>
      <c r="F35" s="5">
        <v>20.7</v>
      </c>
      <c r="G35" s="5">
        <v>32.700000000000003</v>
      </c>
      <c r="H35" s="5">
        <v>21.2</v>
      </c>
    </row>
    <row r="36" spans="1:8" x14ac:dyDescent="0.35">
      <c r="A36" s="3" t="s">
        <v>34</v>
      </c>
      <c r="B36" s="5">
        <v>66</v>
      </c>
      <c r="C36" s="4" t="s">
        <v>46</v>
      </c>
      <c r="D36" s="4">
        <v>120</v>
      </c>
      <c r="E36" s="5">
        <v>37.9</v>
      </c>
      <c r="F36" s="5">
        <v>26.3</v>
      </c>
      <c r="G36" s="5">
        <v>47.9</v>
      </c>
      <c r="H36" s="5">
        <v>19.899999999999999</v>
      </c>
    </row>
    <row r="37" spans="1:8" x14ac:dyDescent="0.35">
      <c r="A37" s="3" t="s">
        <v>35</v>
      </c>
      <c r="B37" s="5">
        <v>32</v>
      </c>
      <c r="C37" s="4" t="s">
        <v>46</v>
      </c>
      <c r="D37" s="4">
        <v>135</v>
      </c>
      <c r="E37" s="5">
        <v>32.299999999999997</v>
      </c>
      <c r="F37" s="5">
        <v>17.7</v>
      </c>
      <c r="G37" s="5">
        <v>28.1</v>
      </c>
      <c r="H37" s="5">
        <v>18.600000000000001</v>
      </c>
    </row>
    <row r="38" spans="1:8" x14ac:dyDescent="0.35">
      <c r="A38" s="3" t="s">
        <v>36</v>
      </c>
      <c r="B38" s="4">
        <v>26</v>
      </c>
      <c r="C38" s="4" t="s">
        <v>47</v>
      </c>
      <c r="D38" s="4">
        <v>134</v>
      </c>
      <c r="E38" s="5">
        <v>34.5</v>
      </c>
      <c r="F38" s="5">
        <v>19.2</v>
      </c>
      <c r="G38" s="5">
        <v>22</v>
      </c>
      <c r="H38" s="5">
        <v>19.399999999999999</v>
      </c>
    </row>
    <row r="39" spans="1:8" x14ac:dyDescent="0.35">
      <c r="A39" s="3" t="s">
        <v>37</v>
      </c>
      <c r="B39" s="4">
        <v>23</v>
      </c>
      <c r="C39" s="4" t="s">
        <v>46</v>
      </c>
      <c r="D39" s="4">
        <v>123</v>
      </c>
      <c r="E39" s="5">
        <v>32.299999999999997</v>
      </c>
      <c r="F39" s="5">
        <v>21.3</v>
      </c>
      <c r="G39" s="5">
        <v>35.4</v>
      </c>
      <c r="H39" s="5">
        <v>18.7</v>
      </c>
    </row>
    <row r="40" spans="1:8" x14ac:dyDescent="0.35">
      <c r="A40" s="3" t="s">
        <v>38</v>
      </c>
      <c r="B40" s="5">
        <v>6</v>
      </c>
      <c r="C40" s="4" t="s">
        <v>46</v>
      </c>
      <c r="D40" s="4">
        <v>114</v>
      </c>
      <c r="E40" s="4">
        <v>25</v>
      </c>
      <c r="F40" s="4">
        <v>19.2</v>
      </c>
      <c r="G40" s="4">
        <v>3</v>
      </c>
      <c r="H40" s="4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Indranil Biswas</dc:creator>
  <cp:lastModifiedBy>INDRANIL BISWAS</cp:lastModifiedBy>
  <dcterms:created xsi:type="dcterms:W3CDTF">2015-06-05T18:17:20Z</dcterms:created>
  <dcterms:modified xsi:type="dcterms:W3CDTF">2026-04-06T12:43:55Z</dcterms:modified>
</cp:coreProperties>
</file>